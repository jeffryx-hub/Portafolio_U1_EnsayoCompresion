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a8b9d350798f2f72/Escritorio/Portafolio_U1_EnsayoHormigon/procedimiento/"/>
    </mc:Choice>
  </mc:AlternateContent>
  <xr:revisionPtr revIDLastSave="52" documentId="11_4943907F536C84CEEB3B98154BA11E3D2CB7CB20" xr6:coauthVersionLast="47" xr6:coauthVersionMax="47" xr10:uidLastSave="{E07C7B9C-7B65-4D6C-9234-D4DC0FB39AC1}"/>
  <bookViews>
    <workbookView xWindow="-120" yWindow="-120" windowWidth="29040" windowHeight="15720" xr2:uid="{00000000-000D-0000-FFFF-FFFF00000000}"/>
  </bookViews>
  <sheets>
    <sheet name="resulta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3" i="1"/>
  <c r="F4" i="1"/>
  <c r="C2" i="1"/>
</calcChain>
</file>

<file path=xl/sharedStrings.xml><?xml version="1.0" encoding="utf-8"?>
<sst xmlns="http://schemas.openxmlformats.org/spreadsheetml/2006/main" count="12" uniqueCount="11">
  <si>
    <t>Fuerza (kN)</t>
  </si>
  <si>
    <t>Desplazamiento (mm)</t>
  </si>
  <si>
    <t>Esfuerzo (MPa)</t>
  </si>
  <si>
    <t>Diámetro (D)</t>
  </si>
  <si>
    <t>Altura (H)</t>
  </si>
  <si>
    <t>Área (A)</t>
  </si>
  <si>
    <t>Parámetros de la Probeta</t>
  </si>
  <si>
    <t>mm</t>
  </si>
  <si>
    <t>mm2</t>
  </si>
  <si>
    <t>Esfuerzo Máximo (fmax)</t>
  </si>
  <si>
    <t>MPa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</si>
</sst>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Esfuerzo-Deformación</a:t>
            </a:r>
            <a:r>
              <a:rPr lang="es-CL" baseline="0"/>
              <a:t> (Probeta 150x300mm)</a:t>
            </a:r>
            <a:endParaRPr lang="es-C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resultados!$B$2:$B$20</c:f>
              <c:numCache>
                <c:formatCode>General</c:formatCode>
                <c:ptCount val="19"/>
                <c:pt idx="0">
                  <c:v>0</c:v>
                </c:pt>
                <c:pt idx="1">
                  <c:v>4.2000000000000003E-2</c:v>
                </c:pt>
                <c:pt idx="2">
                  <c:v>8.5000000000000006E-2</c:v>
                </c:pt>
                <c:pt idx="3">
                  <c:v>0.129</c:v>
                </c:pt>
                <c:pt idx="4">
                  <c:v>0.17399999999999999</c:v>
                </c:pt>
                <c:pt idx="5">
                  <c:v>0.22</c:v>
                </c:pt>
                <c:pt idx="6">
                  <c:v>0.26800000000000002</c:v>
                </c:pt>
                <c:pt idx="7">
                  <c:v>0.316</c:v>
                </c:pt>
                <c:pt idx="8">
                  <c:v>0.36599999999999999</c:v>
                </c:pt>
                <c:pt idx="9">
                  <c:v>0.41699999999999998</c:v>
                </c:pt>
                <c:pt idx="10">
                  <c:v>0.46899999999999997</c:v>
                </c:pt>
                <c:pt idx="11">
                  <c:v>0.52200000000000002</c:v>
                </c:pt>
                <c:pt idx="12">
                  <c:v>0.57599999999999996</c:v>
                </c:pt>
                <c:pt idx="13">
                  <c:v>0.63100000000000001</c:v>
                </c:pt>
                <c:pt idx="14">
                  <c:v>0.68799999999999994</c:v>
                </c:pt>
                <c:pt idx="15">
                  <c:v>0.745</c:v>
                </c:pt>
                <c:pt idx="16">
                  <c:v>0.80400000000000005</c:v>
                </c:pt>
                <c:pt idx="17">
                  <c:v>0.86399999999999999</c:v>
                </c:pt>
                <c:pt idx="18">
                  <c:v>0.92500000000000004</c:v>
                </c:pt>
              </c:numCache>
            </c:numRef>
          </c:xVal>
          <c:yVal>
            <c:numRef>
              <c:f>resultados!$C$2:$C$20</c:f>
              <c:numCache>
                <c:formatCode>General</c:formatCode>
                <c:ptCount val="19"/>
                <c:pt idx="0">
                  <c:v>0</c:v>
                </c:pt>
                <c:pt idx="1">
                  <c:v>1.4147106052612919</c:v>
                </c:pt>
                <c:pt idx="2">
                  <c:v>2.8294212105225838</c:v>
                </c:pt>
                <c:pt idx="3">
                  <c:v>4.2441318157838754</c:v>
                </c:pt>
                <c:pt idx="4">
                  <c:v>5.6588424210451675</c:v>
                </c:pt>
                <c:pt idx="5">
                  <c:v>7.0735530263064588</c:v>
                </c:pt>
                <c:pt idx="6">
                  <c:v>8.4882636315677509</c:v>
                </c:pt>
                <c:pt idx="7">
                  <c:v>9.9029742368290421</c:v>
                </c:pt>
                <c:pt idx="8">
                  <c:v>11.317684842090335</c:v>
                </c:pt>
                <c:pt idx="9">
                  <c:v>12.732395447351626</c:v>
                </c:pt>
                <c:pt idx="10">
                  <c:v>14.147106052612918</c:v>
                </c:pt>
                <c:pt idx="11">
                  <c:v>15.561816657874211</c:v>
                </c:pt>
                <c:pt idx="12">
                  <c:v>16.976527263135502</c:v>
                </c:pt>
                <c:pt idx="13">
                  <c:v>18.391237868396793</c:v>
                </c:pt>
                <c:pt idx="14">
                  <c:v>19.805948473658084</c:v>
                </c:pt>
                <c:pt idx="15">
                  <c:v>21.220659078919379</c:v>
                </c:pt>
                <c:pt idx="16">
                  <c:v>22.63536968418067</c:v>
                </c:pt>
                <c:pt idx="17">
                  <c:v>24.050080289441961</c:v>
                </c:pt>
                <c:pt idx="18">
                  <c:v>25.464790894703253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7B-4096-B001-D85353FB9D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1566735"/>
        <c:axId val="1538981615"/>
      </c:scatterChart>
      <c:valAx>
        <c:axId val="1631566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Desplazamiento</a:t>
                </a:r>
                <a:r>
                  <a:rPr lang="es-CL" baseline="0"/>
                  <a:t>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38981615"/>
        <c:crosses val="autoZero"/>
        <c:crossBetween val="midCat"/>
      </c:valAx>
      <c:valAx>
        <c:axId val="1538981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Esfuerzo</a:t>
                </a:r>
                <a:r>
                  <a:rPr lang="es-CL" baseline="0"/>
                  <a:t> (MPa)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31566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6</xdr:row>
      <xdr:rowOff>4762</xdr:rowOff>
    </xdr:from>
    <xdr:to>
      <xdr:col>14</xdr:col>
      <xdr:colOff>304800</xdr:colOff>
      <xdr:row>20</xdr:row>
      <xdr:rowOff>80962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4DCC999-1ED3-3A8A-15CF-91319FEF4F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selection activeCell="P28" sqref="P28"/>
    </sheetView>
  </sheetViews>
  <sheetFormatPr baseColWidth="10" defaultColWidth="9.140625" defaultRowHeight="15" x14ac:dyDescent="0.25"/>
  <cols>
    <col min="1" max="1" width="13.5703125" customWidth="1"/>
    <col min="2" max="2" width="22.7109375" customWidth="1"/>
    <col min="3" max="3" width="17" customWidth="1"/>
    <col min="5" max="5" width="24.140625" customWidth="1"/>
  </cols>
  <sheetData>
    <row r="1" spans="1:7" x14ac:dyDescent="0.25">
      <c r="A1" t="s">
        <v>0</v>
      </c>
      <c r="B1" t="s">
        <v>1</v>
      </c>
      <c r="C1" t="s">
        <v>2</v>
      </c>
      <c r="E1" t="s">
        <v>6</v>
      </c>
    </row>
    <row r="2" spans="1:7" x14ac:dyDescent="0.25">
      <c r="A2">
        <v>0</v>
      </c>
      <c r="B2">
        <v>0</v>
      </c>
      <c r="C2">
        <f t="shared" ref="C2" si="0">A2*1000/17671.46</f>
        <v>0</v>
      </c>
      <c r="E2" t="s">
        <v>3</v>
      </c>
      <c r="F2">
        <v>150</v>
      </c>
      <c r="G2" t="s">
        <v>7</v>
      </c>
    </row>
    <row r="3" spans="1:7" x14ac:dyDescent="0.25">
      <c r="A3">
        <v>25</v>
      </c>
      <c r="B3">
        <v>4.2000000000000003E-2</v>
      </c>
      <c r="C3">
        <f>A3*1000/$F$4</f>
        <v>1.4147106052612919</v>
      </c>
      <c r="E3" t="s">
        <v>4</v>
      </c>
      <c r="F3">
        <v>300</v>
      </c>
      <c r="G3" t="s">
        <v>7</v>
      </c>
    </row>
    <row r="4" spans="1:7" x14ac:dyDescent="0.25">
      <c r="A4">
        <v>50</v>
      </c>
      <c r="B4">
        <v>8.5000000000000006E-2</v>
      </c>
      <c r="C4">
        <f t="shared" ref="C4:C20" si="1">A4*1000/$F$4</f>
        <v>2.8294212105225838</v>
      </c>
      <c r="E4" t="s">
        <v>5</v>
      </c>
      <c r="F4">
        <f>PI()*(F2/2)^2</f>
        <v>17671.458676442588</v>
      </c>
      <c r="G4" t="s">
        <v>8</v>
      </c>
    </row>
    <row r="5" spans="1:7" x14ac:dyDescent="0.25">
      <c r="A5">
        <v>75</v>
      </c>
      <c r="B5">
        <v>0.129</v>
      </c>
      <c r="C5">
        <f t="shared" si="1"/>
        <v>4.2441318157838754</v>
      </c>
    </row>
    <row r="6" spans="1:7" x14ac:dyDescent="0.25">
      <c r="A6">
        <v>100</v>
      </c>
      <c r="B6">
        <v>0.17399999999999999</v>
      </c>
      <c r="C6">
        <f t="shared" si="1"/>
        <v>5.6588424210451675</v>
      </c>
      <c r="E6" t="s">
        <v>9</v>
      </c>
      <c r="F6">
        <f>MAX(C2:C20)</f>
        <v>25.464790894703253</v>
      </c>
      <c r="G6" t="s">
        <v>10</v>
      </c>
    </row>
    <row r="7" spans="1:7" x14ac:dyDescent="0.25">
      <c r="A7">
        <v>125</v>
      </c>
      <c r="B7">
        <v>0.22</v>
      </c>
      <c r="C7">
        <f t="shared" si="1"/>
        <v>7.0735530263064588</v>
      </c>
    </row>
    <row r="8" spans="1:7" x14ac:dyDescent="0.25">
      <c r="A8">
        <v>150</v>
      </c>
      <c r="B8">
        <v>0.26800000000000002</v>
      </c>
      <c r="C8">
        <f t="shared" si="1"/>
        <v>8.4882636315677509</v>
      </c>
    </row>
    <row r="9" spans="1:7" x14ac:dyDescent="0.25">
      <c r="A9">
        <v>175</v>
      </c>
      <c r="B9">
        <v>0.316</v>
      </c>
      <c r="C9">
        <f t="shared" si="1"/>
        <v>9.9029742368290421</v>
      </c>
    </row>
    <row r="10" spans="1:7" x14ac:dyDescent="0.25">
      <c r="A10">
        <v>200</v>
      </c>
      <c r="B10">
        <v>0.36599999999999999</v>
      </c>
      <c r="C10">
        <f t="shared" si="1"/>
        <v>11.317684842090335</v>
      </c>
    </row>
    <row r="11" spans="1:7" x14ac:dyDescent="0.25">
      <c r="A11">
        <v>225</v>
      </c>
      <c r="B11">
        <v>0.41699999999999998</v>
      </c>
      <c r="C11">
        <f t="shared" si="1"/>
        <v>12.732395447351626</v>
      </c>
    </row>
    <row r="12" spans="1:7" x14ac:dyDescent="0.25">
      <c r="A12">
        <v>250</v>
      </c>
      <c r="B12">
        <v>0.46899999999999997</v>
      </c>
      <c r="C12">
        <f t="shared" si="1"/>
        <v>14.147106052612918</v>
      </c>
    </row>
    <row r="13" spans="1:7" x14ac:dyDescent="0.25">
      <c r="A13">
        <v>275</v>
      </c>
      <c r="B13">
        <v>0.52200000000000002</v>
      </c>
      <c r="C13">
        <f t="shared" si="1"/>
        <v>15.561816657874211</v>
      </c>
    </row>
    <row r="14" spans="1:7" x14ac:dyDescent="0.25">
      <c r="A14">
        <v>300</v>
      </c>
      <c r="B14">
        <v>0.57599999999999996</v>
      </c>
      <c r="C14">
        <f t="shared" si="1"/>
        <v>16.976527263135502</v>
      </c>
    </row>
    <row r="15" spans="1:7" x14ac:dyDescent="0.25">
      <c r="A15">
        <v>325</v>
      </c>
      <c r="B15">
        <v>0.63100000000000001</v>
      </c>
      <c r="C15">
        <f t="shared" si="1"/>
        <v>18.391237868396793</v>
      </c>
    </row>
    <row r="16" spans="1:7" x14ac:dyDescent="0.25">
      <c r="A16">
        <v>350</v>
      </c>
      <c r="B16">
        <v>0.68799999999999994</v>
      </c>
      <c r="C16">
        <f t="shared" si="1"/>
        <v>19.805948473658084</v>
      </c>
    </row>
    <row r="17" spans="1:3" x14ac:dyDescent="0.25">
      <c r="A17">
        <v>375</v>
      </c>
      <c r="B17">
        <v>0.745</v>
      </c>
      <c r="C17">
        <f t="shared" si="1"/>
        <v>21.220659078919379</v>
      </c>
    </row>
    <row r="18" spans="1:3" x14ac:dyDescent="0.25">
      <c r="A18">
        <v>400</v>
      </c>
      <c r="B18">
        <v>0.80400000000000005</v>
      </c>
      <c r="C18">
        <f t="shared" si="1"/>
        <v>22.63536968418067</v>
      </c>
    </row>
    <row r="19" spans="1:3" x14ac:dyDescent="0.25">
      <c r="A19">
        <v>425</v>
      </c>
      <c r="B19">
        <v>0.86399999999999999</v>
      </c>
      <c r="C19">
        <f t="shared" si="1"/>
        <v>24.050080289441961</v>
      </c>
    </row>
    <row r="20" spans="1:3" x14ac:dyDescent="0.25">
      <c r="A20">
        <v>450</v>
      </c>
      <c r="B20">
        <v>0.92500000000000004</v>
      </c>
      <c r="C20">
        <f t="shared" si="1"/>
        <v>25.464790894703253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Jeffry Aburto</cp:lastModifiedBy>
  <dcterms:created xsi:type="dcterms:W3CDTF">2026-09-19T14:11:16Z</dcterms:created>
  <dcterms:modified xsi:type="dcterms:W3CDTF">2026-09-22T21:05:59Z</dcterms:modified>
</cp:coreProperties>
</file>